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ent\Documents\GitHub\rfid-nfc-manager\JLCPCB Order\"/>
    </mc:Choice>
  </mc:AlternateContent>
  <xr:revisionPtr revIDLastSave="0" documentId="13_ncr:1_{16BB713D-6689-4478-B8C2-7A038E6DEC2F}" xr6:coauthVersionLast="47" xr6:coauthVersionMax="47" xr10:uidLastSave="{00000000-0000-0000-0000-000000000000}"/>
  <bookViews>
    <workbookView xWindow="-120" yWindow="-120" windowWidth="38640" windowHeight="15480" xr2:uid="{33F2DA52-EEA3-47B3-A567-6D5168423C5F}"/>
  </bookViews>
  <sheets>
    <sheet name="RFID" sheetId="3" r:id="rId1"/>
  </sheets>
  <definedNames>
    <definedName name="ExternalData_2" localSheetId="0" hidden="1">RFID!$A$1:$G$63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3" i="3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3DC59-959D-4FEC-995D-97A6C5899667}" keepAlive="1" name="Query - RFID" description="Connection to the 'RFID' query in the workbook." type="5" refreshedVersion="0" background="1">
    <dbPr connection="Provider=Microsoft.Mashup.OleDb.1;Data Source=$Workbook$;Location=RFID;Extended Properties=&quot;&quot;" command="SELECT * FROM [RFID]"/>
  </connection>
  <connection id="2" xr16:uid="{F150528E-36BD-453E-A4C0-0720BDE8A919}" keepAlive="1" name="Query - RFID (2)" description="Connection to the 'RFID (2)' query in the workbook." type="5" refreshedVersion="8" background="1" saveData="1">
    <dbPr connection="Provider=Microsoft.Mashup.OleDb.1;Data Source=$Workbook$;Location=&quot;RFID (2)&quot;;Extended Properties=&quot;&quot;" command="SELECT * FROM [RFID (2)]"/>
  </connection>
</connections>
</file>

<file path=xl/sharedStrings.xml><?xml version="1.0" encoding="utf-8"?>
<sst xmlns="http://schemas.openxmlformats.org/spreadsheetml/2006/main" count="240" uniqueCount="233">
  <si>
    <t>Reference</t>
  </si>
  <si>
    <t>Qty</t>
  </si>
  <si>
    <t>Value</t>
  </si>
  <si>
    <t>BZ1</t>
  </si>
  <si>
    <t>Buzzer</t>
  </si>
  <si>
    <t>https://www.mouser.pl/en/ProductDetail/PUI-Audio/SMT-1227-T?qs=HoCaDK9Nz5ei3R2VXxeIrQ%3D%3D</t>
  </si>
  <si>
    <t>C1,C28,C29,C34,C44</t>
  </si>
  <si>
    <t>1u</t>
  </si>
  <si>
    <t>https://www.mouser.pl/en/ProductDetail/Murata-Electronics/GRM155R61E105MA12D?qs=sGAEpiMZZMsh%252B1woXyUXj5QCz55T1myurb%2FqB7Yg%2F%252BU%3D</t>
  </si>
  <si>
    <t>C2,C3,C16,C19</t>
  </si>
  <si>
    <t>4u7</t>
  </si>
  <si>
    <t>https://www.mouser.pl/en/ProductDetail/Murata-Electronics/GRM155R61A475MEAAD?qs=AEetWsPH0IuXrVCc8yqzOA%3D%3D</t>
  </si>
  <si>
    <t>100n</t>
  </si>
  <si>
    <t>https://www.mouser.pl/en/ProductDetail/KEMET/C0402C104M4RAC?qs=sGAEpiMZZMsh%252B1woXyUXj0IF1fNKGVekIo7uOj4QnU8%3D</t>
  </si>
  <si>
    <t>C5</t>
  </si>
  <si>
    <t>47u</t>
  </si>
  <si>
    <t>C6</t>
  </si>
  <si>
    <t>22u</t>
  </si>
  <si>
    <t>https://www.mouser.pl/pl/ProductDetail/TDK/C1608X5R1A226M080AC?qs=dfay7wIA1uED3Fb1o4f9Dg%3D%3D</t>
  </si>
  <si>
    <t>C8</t>
  </si>
  <si>
    <t>10u</t>
  </si>
  <si>
    <t>https://www.mouser.pl/en/ProductDetail/Vishay-Vitramon/VJ0805G106KXXTW1BC?qs=5aG0NVq1C4yGrIk%2FXaQ81Q%3D%3D</t>
  </si>
  <si>
    <t>C10,C11</t>
  </si>
  <si>
    <t>22p</t>
  </si>
  <si>
    <t>https://www.mouser.pl/en/ProductDetail/KEMET/C0402C220K4RACTU?qs=sGAEpiMZZMsh%252B1woXyUXjy5CflaGJNNRjmNMUjRxieY%3D</t>
  </si>
  <si>
    <t>C21</t>
  </si>
  <si>
    <t>1n</t>
  </si>
  <si>
    <t>https://www.mouser.pl/en/ProductDetail/Walsin/MT15B102K500CT?qs=ZrPdAQfJ6DOgDGlFYvFhrg%3D%3D</t>
  </si>
  <si>
    <t>C22,C23</t>
  </si>
  <si>
    <t>220p</t>
  </si>
  <si>
    <t>https://www.mouser.pl/en/ProductDetail/Walsin/0402B221K250CT?qs=fIkAfuXiAQKCr%252B1zhkN6zQ%3D%3D</t>
  </si>
  <si>
    <t>0402B221K250CT</t>
  </si>
  <si>
    <t/>
  </si>
  <si>
    <t>C40,C41</t>
  </si>
  <si>
    <t>15p</t>
  </si>
  <si>
    <t>https://www.mouser.pl/en/ProductDetail/KYOCERA-AVX/04021C150KAT2A?qs=%252BdQmOuGyFcFRsBBhELGArg%3D%3D</t>
  </si>
  <si>
    <t>C43</t>
  </si>
  <si>
    <t>470n</t>
  </si>
  <si>
    <t>https://www.mouser.pl/en/ProductDetail/Murata-Electronics/GRM155R61H474ME11D?qs=sGAEpiMZZMsh%252B1woXyUXj0NeTkCQpv5AjJVSV1GzUIw%3D</t>
  </si>
  <si>
    <t>D1</t>
  </si>
  <si>
    <t>D2,D4,D5</t>
  </si>
  <si>
    <t>https://www.mouser.pl/en/ProductDetail/Semtech/RCLAMP03331PWQC?qs=wT7LY0lnAe0Cyd1U%2FGqM7A%3D%3D</t>
  </si>
  <si>
    <t>https://assets.nexperia.com/documents/data-sheet/PTVS5V0Z1USK.pdf</t>
  </si>
  <si>
    <t>F1</t>
  </si>
  <si>
    <t>https://www.mouser.pl/en/ProductDetail/Bourns/MF-NSMF150-2?qs=sGAEpiMZZMt8Ji9PfVTQzBVYtsoM7HwEG0NHQA4oCpI%3D</t>
  </si>
  <si>
    <t>FB1</t>
  </si>
  <si>
    <t>100R</t>
  </si>
  <si>
    <t>https://www.mouser.pl/en/ProductDetail/Eaton-Electronics/MFBM1V2012-101-R?qs=sGAEpiMZZMt1hubY80%2Fs8FPrdxb49HgJpyB29N%252BY1lpVIqdeBozpxw%3D%3D</t>
  </si>
  <si>
    <t>https://www.mouser.pl/en/ProductDetail/ABRACON/ACML-0402-601-T?qs=sGAEpiMZZMt1hubY80%2Fs8A6GgYV3D5NR75NelSByAd0%3D</t>
  </si>
  <si>
    <t>600R</t>
  </si>
  <si>
    <t>IC1</t>
  </si>
  <si>
    <t>TPS63020DSJR</t>
  </si>
  <si>
    <t>IC2</t>
  </si>
  <si>
    <t>IC3</t>
  </si>
  <si>
    <t>IC4</t>
  </si>
  <si>
    <t>J1</t>
  </si>
  <si>
    <t>J4</t>
  </si>
  <si>
    <t>UJ20-C-H-G-MSMT-4B-P16-TR</t>
  </si>
  <si>
    <t>https://www.mouser.pl/en/ProductDetail/Molex/53048-0310?qs=zXrbR4Jv0OfUlEeVnlaifA%3D%3D</t>
  </si>
  <si>
    <t>53048-0310</t>
  </si>
  <si>
    <t>L1</t>
  </si>
  <si>
    <t>L2,L3</t>
  </si>
  <si>
    <t>560n</t>
  </si>
  <si>
    <t>https://www.mouser.pl/en/ProductDetail/TDK/MLJ1608WR56JT000?qs=XFe3dyCRgQhI5ckXA9xj0A%3D%3D</t>
  </si>
  <si>
    <t>MLJ1608WR56JT000</t>
  </si>
  <si>
    <t>LED1</t>
  </si>
  <si>
    <t>RGB LED</t>
  </si>
  <si>
    <t>Q1</t>
  </si>
  <si>
    <t>BSS84AK,215</t>
  </si>
  <si>
    <t>https://www.mouser.pl/en/ProductDetail/Nexperia/BSS84AK215?qs=A1cBxND5mHJndJgHJTE1yg%3D%3D</t>
  </si>
  <si>
    <t>Q3</t>
  </si>
  <si>
    <t>NX7002AKVL</t>
  </si>
  <si>
    <t>https://www.mouser.pl/en/ProductDetail/Nexperia/NX7002AKVL?qs=1GAP6L74MtTHifGD7E%252BJaw%3D%3D</t>
  </si>
  <si>
    <t>R1</t>
  </si>
  <si>
    <t>R2</t>
  </si>
  <si>
    <t>3k</t>
  </si>
  <si>
    <t>https://www.mouser.pl/en/ProductDetail/SEI-Stackpole/RMCF0402FT3K00?qs=FESYatJ8odI5u0iVKZqtlg%3D%3D</t>
  </si>
  <si>
    <t>RMCF0402FT3K00</t>
  </si>
  <si>
    <t>R3</t>
  </si>
  <si>
    <t>1k1</t>
  </si>
  <si>
    <t>https://www.mouser.pl/en/ProductDetail/Walsin/WR04X112-JTL?qs=vmHwEFxEFR%252BUJTqIeP8Qjw%3D%3D</t>
  </si>
  <si>
    <t>R4</t>
  </si>
  <si>
    <t>100k</t>
  </si>
  <si>
    <t>https://www.mouser.pl/en/ProductDetail/YAGEO/RE0402FRE07100KL?qs=k2KEx2DUIRRkXe51mvHj4Q%3D%3D</t>
  </si>
  <si>
    <t>R5</t>
  </si>
  <si>
    <t>11k</t>
  </si>
  <si>
    <t>https://www.mouser.pl/en/ProductDetail/Vishay/CRCW040211K0FKEDC?qs=E3Y5ESvWgWOTqs0rVNeJew%3D%3D</t>
  </si>
  <si>
    <t>CRCW040211K0FKEDC</t>
  </si>
  <si>
    <t>R6</t>
  </si>
  <si>
    <t>23k7</t>
  </si>
  <si>
    <t>https://www.mouser.pl/en/ProductDetail/SEI-Stackpole/RMCF0402FT23K7?qs=IPgv5n7u5QYUgSIwQXEcPA%3D%3D</t>
  </si>
  <si>
    <t>RMCF0402FT23K7</t>
  </si>
  <si>
    <t>R7,R8</t>
  </si>
  <si>
    <t>27R</t>
  </si>
  <si>
    <t>https://www.mouser.pl/en/ProductDetail/YAGEO/RC0402JR-0727RL?qs=uM1JSSdPjODagIlcbhvi6Q%3D%3D</t>
  </si>
  <si>
    <t>R9,R17</t>
  </si>
  <si>
    <t>1k</t>
  </si>
  <si>
    <t>https://www.mouser.pl/en/ProductDetail/SEI-Stackpole/RMCF0402JT1K00?qs=FESYatJ8odLbN2FLQhkaDA%3D%3D</t>
  </si>
  <si>
    <t>R10,R18,R19,R28,R29</t>
  </si>
  <si>
    <t>10k</t>
  </si>
  <si>
    <t>https://www.mouser.pl/en/ProductDetail/YAGEO/RC0402JR-7D10KL?qs=F5EMLAvA7IAZVU4qLo2WvQ%3D%3D</t>
  </si>
  <si>
    <t>R11</t>
  </si>
  <si>
    <t>https://www.mouser.pl/en/ProductDetail/Bourns/CR0402-JW-104GLF?qs=K5ddiUFZPT6F5Sk3R93%2Fiw%3D%3D</t>
  </si>
  <si>
    <t>R12</t>
  </si>
  <si>
    <t>1M</t>
  </si>
  <si>
    <t>https://www.mouser.pl/en/ProductDetail/YAGEO/RC0402JR-131ML?qs=x0snyod90YO4y3OKfhsgFQ%3D%3D</t>
  </si>
  <si>
    <t>R13</t>
  </si>
  <si>
    <t>137k</t>
  </si>
  <si>
    <t>R14</t>
  </si>
  <si>
    <t>768k</t>
  </si>
  <si>
    <t>https://www.mouser.com/ProductDetail/Vishay/CRCW0402768KFKED?qs=CrYM0bloiFJM%252Bg4a2Fs2hQ%3D%3D</t>
  </si>
  <si>
    <t>R15,R16</t>
  </si>
  <si>
    <t>5k1</t>
  </si>
  <si>
    <t>https://www.mouser.pl/en/ProductDetail/YAGEO/AC0402JR-075K1L?qs=ygRr%2Ftkhtev1AbJgasJMAQ%3D%3D</t>
  </si>
  <si>
    <t>R20</t>
  </si>
  <si>
    <t>https://www.mouser.pl/en/ProductDetail/YAGEO/RC0402FR-131KL?qs=UOUeRUa%252B8WnjQADh3tgZ2g%3D%3D</t>
  </si>
  <si>
    <t>R21</t>
  </si>
  <si>
    <t>2k7</t>
  </si>
  <si>
    <t>https://www.mouser.pl/en/ProductDetail/TE-Connectivity-Holsworthy/CRG0402F2K7?qs=HLeXuo0aL2q7SOhAm5xJiA%3D%3D</t>
  </si>
  <si>
    <t>R22,R23</t>
  </si>
  <si>
    <t>R24,R26,R30,R31</t>
  </si>
  <si>
    <t>https://www.mouser.pl/en/ProductDetail/YAGEO/RC0402JR-13100RL?qs=MTB16yVWt2JI5GC6j%252BJVXg%3D%3D</t>
  </si>
  <si>
    <t>R25</t>
  </si>
  <si>
    <t>270R</t>
  </si>
  <si>
    <t>https://www.mouser.pl/en/ProductDetail/Walsin/WR04X271-JTL?qs=1w%252B2sDiFrrF1krqaMjnQrg%3D%3D</t>
  </si>
  <si>
    <t>R27</t>
  </si>
  <si>
    <t>R01</t>
  </si>
  <si>
    <t>https://www.mouser.pl/en/ProductDetail/TE-Connectivity-CGS/RLW73PA2FR010TD?qs=8Wlm6%252BaMh8SAmYkEn3Xu%2Fg%3D%3D</t>
  </si>
  <si>
    <t>SW1</t>
  </si>
  <si>
    <t>https://www.mouser.pl/en/ProductDetail/Omron-Electronics/B3F-3152?qs=Pjd0UV7BHP%252BLeRBK3ENKog%3D%3D</t>
  </si>
  <si>
    <t>B3F-3152</t>
  </si>
  <si>
    <t>TS11-674-105-BK-160-RA-D</t>
  </si>
  <si>
    <t>https://www.mouser.pl/en/ProductDetail/Same-Sky/TS01-66-73-BK-160-D?qs=A6eO%252BMLsxmRZqzcqxys3CA%3D%3D</t>
  </si>
  <si>
    <t>TS01-66-73-BK-160-D</t>
  </si>
  <si>
    <t>TH1</t>
  </si>
  <si>
    <t>https://www.mouser.pl/en/ProductDetail/Murata-Electronics/NXRT15XH103FA1B040?qs=bX1%252BNvsK%2FBqTpGl5plN64w%3D%3D</t>
  </si>
  <si>
    <t>U1</t>
  </si>
  <si>
    <t>U2</t>
  </si>
  <si>
    <t>Y1</t>
  </si>
  <si>
    <t>27M12</t>
  </si>
  <si>
    <t>https://www.mouser.pl/en/ProductDetail/TXC-Corporation/7M-27.120MEEQ-T?qs=65dIHZNch5vpCedHjSv71Q%3D%3D</t>
  </si>
  <si>
    <t>Y2</t>
  </si>
  <si>
    <t>12M</t>
  </si>
  <si>
    <t>https://www.mouser.pl/en/ProductDetail/ABRACON/ABM8-272-T3?qs=QpmGXVUTftEj6miOiJBMxQ%3D%3D</t>
  </si>
  <si>
    <t>SMT-1227-T</t>
  </si>
  <si>
    <t>Price</t>
  </si>
  <si>
    <t>Full Price</t>
  </si>
  <si>
    <t>GRM155R61E105MA12D</t>
  </si>
  <si>
    <t>GRM155R61A475MEAAD</t>
  </si>
  <si>
    <t>C0402C104M4RAC</t>
  </si>
  <si>
    <t>MSASJ21GBB5476MTNA01</t>
  </si>
  <si>
    <t>C1608X5R1A226M080AC</t>
  </si>
  <si>
    <t>VJ0805G106KXXTW1BC</t>
  </si>
  <si>
    <t>C0402C220K4RACTU</t>
  </si>
  <si>
    <t>MT15B102K500CT</t>
  </si>
  <si>
    <t>04021C150KAT2A</t>
  </si>
  <si>
    <t>GRM155R61H474ME11D</t>
  </si>
  <si>
    <t>RCLAMP03331PWQC</t>
  </si>
  <si>
    <t>MF-NSMF150-2</t>
  </si>
  <si>
    <t>MFBM1V2012-101-R</t>
  </si>
  <si>
    <t>ACML-0402-601-T</t>
  </si>
  <si>
    <t>https://www.mouser.pl/en/ProductDetail/TAIYO-YUDEN/MSASJ21GBB5476MTNA01?qs=tlsG%2FOw5FFieGPnwRR3k%2FA%3D%3D</t>
  </si>
  <si>
    <t>D3,D6</t>
  </si>
  <si>
    <t>FB2,FB3</t>
  </si>
  <si>
    <t>SW2,SW3</t>
  </si>
  <si>
    <t>BOOTSEL,RUN</t>
  </si>
  <si>
    <t>SW4,SW5</t>
  </si>
  <si>
    <t>A_BTN,B_BTN</t>
  </si>
  <si>
    <t>C4,C7,C9,C12,C13,C14,C15,C17,C18,C20,C30,C31,C32,C33,C35,C36,C37,C38,C39,C42,C45</t>
  </si>
  <si>
    <t>C24,C27</t>
  </si>
  <si>
    <t>C25,C26</t>
  </si>
  <si>
    <t>https://www.mouser.pl/en/ProductDetail/onsemi/BAT54CWT1G?qs=vLkC5FC1VN%252BrCVJoOnrq3Q%3D%3D</t>
  </si>
  <si>
    <t>BAT54CWT1G</t>
  </si>
  <si>
    <t>Diode</t>
  </si>
  <si>
    <t>1A5</t>
  </si>
  <si>
    <t>Buck-Boost</t>
  </si>
  <si>
    <t>https://pl.aliexpress.com/item/32846379590.html</t>
  </si>
  <si>
    <t>BQ24075TRGTR</t>
  </si>
  <si>
    <t>Battery Management</t>
  </si>
  <si>
    <t>https://pl.aliexpress.com/i/1005011929805463.html?gatewayAdapt=glo2pol</t>
  </si>
  <si>
    <t>NFV RFID Module</t>
  </si>
  <si>
    <t>https://pl.aliexpress.com/item/1005005863728911.html?spm=a2g0o.productlist.main.1.731b5b7dFUnKne&amp;algo_pvid=09c74147-6d09-44a5-9c42-3d8bfaff9f8b&amp;algo_exp_id=09c74147-6d09-44a5-9c42-3d8bfaff9f8b-0&amp;pdp_ext_f=%7B%22order%22%3A%22623%22%2C%22eval%22%3A%221%22%2C%22fromPage%22%3A%22search%22%7D&amp;pdp_npi=6%40dis%21PLN%211.92%211.92%21%21%210.50%210.50%21%400b88ab8a17866421389676470e0eb6%2112000034618050547%21sea%21PL%216094660136%21X%211%210%21n_tag%3A-29919%3Bd%3Ac35a3f61%3Bm03_new_user%3A-29895&amp;curPageLogUid=igvFkBrqWWeV&amp;utparam-url=scene%3Asearch%7Cquery_from%3A%7Cx_object_id%3A1005005863728911%7C_p_origin_prod%3A</t>
  </si>
  <si>
    <t>PN532</t>
  </si>
  <si>
    <t>https://www.mouser.pl/en/ProductDetail/Winbond/W25Q32JVSSIQS?qs=wnTfsH77Xs7rrxn05H%252BMrQ%3D%3D</t>
  </si>
  <si>
    <t>Name</t>
  </si>
  <si>
    <t>Site</t>
  </si>
  <si>
    <t>W25Q32JVSSIQS</t>
  </si>
  <si>
    <t>NOR Flash</t>
  </si>
  <si>
    <t>https://www.mouser.pl/en/ProductDetail/JST-Commercial/SM03B-SRSS-TBLFSN?qs=cdbOS8ANM9DY%2Fg%2FPQv5Kng%3D%3D</t>
  </si>
  <si>
    <t>SM03B-SRSS-TB(LF)(SN)</t>
  </si>
  <si>
    <t>Debug Connector</t>
  </si>
  <si>
    <t>USB-C Connector</t>
  </si>
  <si>
    <t>https://www.mouser.pl/en/ProductDetail/Same-Sky/UJ20-C-H-G-MSMT-4B-P16-TR?qs=sGAEpiMZZMvlX3nhDDO4ACjgJoffZvcbOspL7D5BzU8%3D</t>
  </si>
  <si>
    <t>J2,J5,J6</t>
  </si>
  <si>
    <t>Molex Connector</t>
  </si>
  <si>
    <t>https://www.mouser.pl/en/ProductDetail/Murata-Electronics/DFE201610E-1R0M%3dP2?qs=AQlKX63v8Rt1GlLg%252BymCUQ%3D%3D</t>
  </si>
  <si>
    <t>DFE201610E-1R0M=P2</t>
  </si>
  <si>
    <t>RE0402FRE07100KL</t>
  </si>
  <si>
    <t>RC0402JR-0727RL</t>
  </si>
  <si>
    <t>RMCF0402JT1K00</t>
  </si>
  <si>
    <t>RC0402JR-7D10KL</t>
  </si>
  <si>
    <t>CR0402-JW-104GLF</t>
  </si>
  <si>
    <t>RC0402JR-131ML</t>
  </si>
  <si>
    <t>CRCW0402137KFKED</t>
  </si>
  <si>
    <t>CRCW0402768KFKED</t>
  </si>
  <si>
    <t>AC0402JR-075K1L</t>
  </si>
  <si>
    <t>RC0402FR-131KL</t>
  </si>
  <si>
    <t>CRG0402F2K7</t>
  </si>
  <si>
    <t>IN-S66TFT5R5G5B</t>
  </si>
  <si>
    <t>https://www.mouser.pl/en/ProductDetail/Inolux/IN-S66TFT5R5G5B?qs=stqOd1AaK7%2FLVY5moRrQGg%3D%3D</t>
  </si>
  <si>
    <t>P-MOSFET</t>
  </si>
  <si>
    <t>N-MOSFET</t>
  </si>
  <si>
    <t>46k4</t>
  </si>
  <si>
    <t>https://www.mouser.pl/en/ProductDetail/YAGEO/RT0402FRE0746K4L?qs=sGAEpiMZZMtlubZbdhIBIFrRfcQHbHIX0X7YE9PIy78%3D</t>
  </si>
  <si>
    <t>RT0402FRE0746K4L</t>
  </si>
  <si>
    <t>WR04X112 JTL</t>
  </si>
  <si>
    <t>https://www.mouser.pl/en/ProductDetail/Vishay/CRCW0402137KFKED?qs=8wskyPz2qw2oEbG%2FMX%2Ft%2FQ%3D%3D</t>
  </si>
  <si>
    <t>RC0402JR-13100RL</t>
  </si>
  <si>
    <t>RLW73PA2FR010TD</t>
  </si>
  <si>
    <t>NXRT15XH103FA1B040</t>
  </si>
  <si>
    <t>7M-27.120MEEQ-T</t>
  </si>
  <si>
    <t>ABM8-272-T3</t>
  </si>
  <si>
    <t>WR04X271 JTL</t>
  </si>
  <si>
    <t>Power Button</t>
  </si>
  <si>
    <t>https://www.mouser.pl/en/ProductDetail/Same-Sky/TS11-674-105-BK-160-RA-D?qs=t7xnP681wgVMt99Ag6QXtw%3D%3D</t>
  </si>
  <si>
    <t>https://www.mouser.pl/en/ProductDetail/Raspberry-Pi/SC091413?qs=T%252BzbugeAwjhr%252BUbBr3TJcw%3D%3D</t>
  </si>
  <si>
    <t>SC0914(13)</t>
  </si>
  <si>
    <t>BQ27441DRZT-G1A</t>
  </si>
  <si>
    <t>MCU</t>
  </si>
  <si>
    <t>Fuel Guage</t>
  </si>
  <si>
    <t>https://www.mouser.pl/en/ProductDetail/Texas-Instruments/BQ27441DRZT-G1A?qs=vvk%2Fphg2gmODra%2FNlpx9UQ%3D%3D</t>
  </si>
  <si>
    <t>Anenna Connection Wires</t>
  </si>
  <si>
    <t>https://www.mouser.pl/en/ProductDetail/Molex/15134-0301?qs=lQAVKuKFhkL4Aonld%2FWL2g%3D%3D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</si>
</sst>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"/>
    <numFmt numFmtId="165" formatCode="#,##0.000\ &quot;zł&quot;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6">
    <dxf>
      <numFmt numFmtId="164" formatCode="#,##0.00\ &quot;zł&quot;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#,##0.00\ &quot;zł&quot;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1353345-4579-4F6B-B24E-7EA2DC60E579}" autoFormatId="16" applyNumberFormats="0" applyBorderFormats="0" applyFontFormats="0" applyPatternFormats="0" applyAlignmentFormats="0" applyWidthHeightFormats="0">
  <queryTableRefresh nextId="11">
    <queryTableFields count="7">
      <queryTableField id="1" name="Reference" tableColumnId="1"/>
      <queryTableField id="3" name="Value" tableColumnId="3"/>
      <queryTableField id="2" name="Qty" tableColumnId="2"/>
      <queryTableField id="6" dataBound="0" tableColumnId="6"/>
      <queryTableField id="7" dataBound="0" tableColumnId="7"/>
      <queryTableField id="5" name="Description" tableColumnId="5"/>
      <queryTableField id="4" name="Datashee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3A9F2-034D-4A70-A096-1561D1D28240}" name="RFID__2" displayName="RFID__2" ref="A1:G63" tableType="queryTable" totalsRowShown="0">
  <autoFilter ref="A1:G63" xr:uid="{BBA3A9F2-034D-4A70-A096-1561D1D28240}"/>
  <tableColumns count="7">
    <tableColumn id="1" xr3:uid="{F16D9625-9B1E-4AEB-9246-CDE52BA4BE12}" uniqueName="1" name="Reference" queryTableFieldId="1" dataDxfId="5"/>
    <tableColumn id="3" xr3:uid="{0CE96DDB-24C8-4DA3-BADA-AE7896D3402B}" uniqueName="3" name="Value" queryTableFieldId="3" dataDxfId="4"/>
    <tableColumn id="2" xr3:uid="{913BA5DE-D16C-49E5-BCC5-928AE6C6536C}" uniqueName="2" name="Qty" queryTableFieldId="2"/>
    <tableColumn id="6" xr3:uid="{5AA8CCA3-4938-44BC-86B7-1719F7D4981E}" uniqueName="6" name="Price" queryTableFieldId="6" dataDxfId="3"/>
    <tableColumn id="7" xr3:uid="{009DB6CD-5A08-4ECD-8CC1-A6F04554B046}" uniqueName="7" name="Full Price" queryTableFieldId="7" dataDxfId="0">
      <calculatedColumnFormula>RFID__2[[#This Row],[Qty]]*RFID__2[[#This Row],[Price]]</calculatedColumnFormula>
    </tableColumn>
    <tableColumn id="5" xr3:uid="{C5D5866C-93DB-43C2-906C-8763999F1784}" uniqueName="5" name="Name" queryTableFieldId="5" dataDxfId="2"/>
    <tableColumn id="4" xr3:uid="{B3E4820C-7529-4EB8-8FDB-C30FFBA22F3F}" uniqueName="4" name="Site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pl/en/ProductDetail/onsemi/BAT54CWT1G?qs=vLkC5FC1VN%252BrCVJoOnrq3Q%3D%3D" TargetMode="External"/><Relationship Id="rId18" Type="http://schemas.openxmlformats.org/officeDocument/2006/relationships/hyperlink" Target="https://www.mouser.pl/en/ProductDetail/ABRACON/ACML-0402-601-T?qs=sGAEpiMZZMt1hubY80%2Fs8A6GgYV3D5NR75NelSByAd0%3D" TargetMode="External"/><Relationship Id="rId26" Type="http://schemas.openxmlformats.org/officeDocument/2006/relationships/hyperlink" Target="https://www.mouser.pl/en/ProductDetail/TDK/MLJ1608WR56JT000?qs=XFe3dyCRgQhI5ckXA9xj0A%3D%3D" TargetMode="External"/><Relationship Id="rId39" Type="http://schemas.openxmlformats.org/officeDocument/2006/relationships/hyperlink" Target="https://www.mouser.pl/en/ProductDetail/YAGEO/RC0402JR-131ML?qs=x0snyod90YO4y3OKfhsgFQ%3D%3D" TargetMode="External"/><Relationship Id="rId21" Type="http://schemas.openxmlformats.org/officeDocument/2006/relationships/hyperlink" Target="http://www.nxp.com/docs/en/nxp/data-sheets/PN532_C1.pdf" TargetMode="External"/><Relationship Id="rId34" Type="http://schemas.openxmlformats.org/officeDocument/2006/relationships/hyperlink" Target="https://www.mouser.pl/en/ProductDetail/SEI-Stackpole/RMCF0402FT23K7?qs=IPgv5n7u5QYUgSIwQXEcPA%3D%3D" TargetMode="External"/><Relationship Id="rId42" Type="http://schemas.openxmlformats.org/officeDocument/2006/relationships/hyperlink" Target="https://www.mouser.pl/en/ProductDetail/YAGEO/AC0402JR-075K1L?qs=ygRr%2Ftkhtev1AbJgasJMAQ%3D%3D" TargetMode="External"/><Relationship Id="rId47" Type="http://schemas.openxmlformats.org/officeDocument/2006/relationships/hyperlink" Target="https://www.mouser.pl/en/ProductDetail/TE-Connectivity-CGS/RLW73PA2FR010TD?qs=8Wlm6%252BaMh8SAmYkEn3Xu%2Fg%3D%3D" TargetMode="External"/><Relationship Id="rId50" Type="http://schemas.openxmlformats.org/officeDocument/2006/relationships/hyperlink" Target="https://www.mouser.pl/en/ProductDetail/Same-Sky/TS01-66-73-BK-160-D?qs=A6eO%252BMLsxmRZqzcqxys3CA%3D%3D" TargetMode="External"/><Relationship Id="rId55" Type="http://schemas.openxmlformats.org/officeDocument/2006/relationships/hyperlink" Target="https://www.mouser.pl/en/ProductDetail/ABRACON/ABM8-272-T3?qs=QpmGXVUTftEj6miOiJBMxQ%3D%3D" TargetMode="External"/><Relationship Id="rId7" Type="http://schemas.openxmlformats.org/officeDocument/2006/relationships/hyperlink" Target="https://www.mouser.pl/en/ProductDetail/Vishay-Vitramon/VJ0805G106KXXTW1BC?qs=5aG0NVq1C4yGrIk%2FXaQ81Q%3D%3D" TargetMode="External"/><Relationship Id="rId2" Type="http://schemas.openxmlformats.org/officeDocument/2006/relationships/hyperlink" Target="https://www.mouser.pl/en/ProductDetail/Murata-Electronics/GRM155R61E105MA12D?qs=sGAEpiMZZMsh%252B1woXyUXj5QCz55T1myurb%2FqB7Yg%2F%252BU%3D" TargetMode="External"/><Relationship Id="rId16" Type="http://schemas.openxmlformats.org/officeDocument/2006/relationships/hyperlink" Target="https://www.mouser.pl/en/ProductDetail/Bourns/MF-NSMF150-2?qs=sGAEpiMZZMt8Ji9PfVTQzBVYtsoM7HwEG0NHQA4oCpI%3D" TargetMode="External"/><Relationship Id="rId29" Type="http://schemas.openxmlformats.org/officeDocument/2006/relationships/hyperlink" Target="https://www.mouser.pl/en/ProductDetail/Nexperia/NX7002AKVL?qs=1GAP6L74MtTHifGD7E%252BJaw%3D%3D" TargetMode="External"/><Relationship Id="rId11" Type="http://schemas.openxmlformats.org/officeDocument/2006/relationships/hyperlink" Target="https://www.mouser.pl/en/ProductDetail/KYOCERA-AVX/04021C150KAT2A?qs=%252BdQmOuGyFcFRsBBhELGArg%3D%3D" TargetMode="External"/><Relationship Id="rId24" Type="http://schemas.openxmlformats.org/officeDocument/2006/relationships/hyperlink" Target="https://www.mouser.pl/en/ProductDetail/Same-Sky/UJ20-C-H-G-MSMT-4B-P16-TR?qs=sGAEpiMZZMvlX3nhDDO4ACjgJoffZvcbOspL7D5BzU8%3D" TargetMode="External"/><Relationship Id="rId32" Type="http://schemas.openxmlformats.org/officeDocument/2006/relationships/hyperlink" Target="https://www.mouser.pl/en/ProductDetail/YAGEO/RE0402FRE07100KL?qs=k2KEx2DUIRRkXe51mvHj4Q%3D%3D" TargetMode="External"/><Relationship Id="rId37" Type="http://schemas.openxmlformats.org/officeDocument/2006/relationships/hyperlink" Target="https://www.mouser.pl/en/ProductDetail/YAGEO/RC0402JR-7D10KL?qs=F5EMLAvA7IAZVU4qLo2WvQ%3D%3D" TargetMode="External"/><Relationship Id="rId40" Type="http://schemas.openxmlformats.org/officeDocument/2006/relationships/hyperlink" Target="https://www.mouser.pl/en/ProductDetail/Vishay/CRCW0402137KFKED?qs=8wskyPz2qw2oEbG%2FMX%2Ft%2FQ%3D%3D" TargetMode="External"/><Relationship Id="rId45" Type="http://schemas.openxmlformats.org/officeDocument/2006/relationships/hyperlink" Target="https://www.mouser.pl/en/ProductDetail/YAGEO/RC0402JR-13100RL?qs=MTB16yVWt2JI5GC6j%252BJVXg%3D%3D" TargetMode="External"/><Relationship Id="rId53" Type="http://schemas.openxmlformats.org/officeDocument/2006/relationships/hyperlink" Target="https://www.mouser.pl/en/ProductDetail/Texas-Instruments/BQ27441DRZT-G1A?qs=vvk%2Fphg2gmODra%2FNlpx9UQ%3D%3D" TargetMode="External"/><Relationship Id="rId58" Type="http://schemas.openxmlformats.org/officeDocument/2006/relationships/table" Target="../tables/table1.xml"/><Relationship Id="rId5" Type="http://schemas.openxmlformats.org/officeDocument/2006/relationships/hyperlink" Target="https://www.mouser.pl/en/ProductDetail/TAIYO-YUDEN/MSASJ21GBB5476MTNA01?qs=tlsG%2FOw5FFieGPnwRR3k%2FA%3D%3D" TargetMode="External"/><Relationship Id="rId19" Type="http://schemas.openxmlformats.org/officeDocument/2006/relationships/hyperlink" Target="https://pl.aliexpress.com/item/32846379590.html" TargetMode="External"/><Relationship Id="rId4" Type="http://schemas.openxmlformats.org/officeDocument/2006/relationships/hyperlink" Target="https://www.mouser.pl/en/ProductDetail/KEMET/C0402C104M4RAC?qs=sGAEpiMZZMsh%252B1woXyUXj0IF1fNKGVekIo7uOj4QnU8%3D" TargetMode="External"/><Relationship Id="rId9" Type="http://schemas.openxmlformats.org/officeDocument/2006/relationships/hyperlink" Target="https://www.mouser.pl/en/ProductDetail/Walsin/MT15B102K500CT?qs=ZrPdAQfJ6DOgDGlFYvFhrg%3D%3D" TargetMode="External"/><Relationship Id="rId14" Type="http://schemas.openxmlformats.org/officeDocument/2006/relationships/hyperlink" Target="https://www.mouser.pl/en/ProductDetail/Semtech/RCLAMP03331PWQC?qs=wT7LY0lnAe0Cyd1U%2FGqM7A%3D%3D" TargetMode="External"/><Relationship Id="rId22" Type="http://schemas.openxmlformats.org/officeDocument/2006/relationships/hyperlink" Target="https://www.mouser.pl/en/ProductDetail/Winbond/W25Q32JVSSIQS?qs=wnTfsH77Xs7rrxn05H%252BMrQ%3D%3D" TargetMode="External"/><Relationship Id="rId27" Type="http://schemas.openxmlformats.org/officeDocument/2006/relationships/hyperlink" Target="https://www.mouser.pl/en/ProductDetail/Inolux/IN-S66TFT5R5G5B?qs=stqOd1AaK7%2FLVY5moRrQGg%3D%3D" TargetMode="External"/><Relationship Id="rId30" Type="http://schemas.openxmlformats.org/officeDocument/2006/relationships/hyperlink" Target="https://www.mouser.pl/en/ProductDetail/SEI-Stackpole/RMCF0402FT3K00?qs=FESYatJ8odI5u0iVKZqtlg%3D%3D" TargetMode="External"/><Relationship Id="rId35" Type="http://schemas.openxmlformats.org/officeDocument/2006/relationships/hyperlink" Target="https://www.mouser.pl/en/ProductDetail/YAGEO/RC0402JR-0727RL?qs=uM1JSSdPjODagIlcbhvi6Q%3D%3D" TargetMode="External"/><Relationship Id="rId43" Type="http://schemas.openxmlformats.org/officeDocument/2006/relationships/hyperlink" Target="https://www.mouser.pl/en/ProductDetail/YAGEO/RC0402FR-131KL?qs=UOUeRUa%252B8WnjQADh3tgZ2g%3D%3D" TargetMode="External"/><Relationship Id="rId48" Type="http://schemas.openxmlformats.org/officeDocument/2006/relationships/hyperlink" Target="https://www.mouser.pl/en/ProductDetail/Omron-Electronics/B3F-3152?qs=Pjd0UV7BHP%252BLeRBK3ENKog%3D%3D" TargetMode="External"/><Relationship Id="rId56" Type="http://schemas.openxmlformats.org/officeDocument/2006/relationships/hyperlink" Target="https://www.mouser.pl/en/ProductDetail/Molex/53048-0310?qs=zXrbR4Jv0OfUlEeVnlaifA%3D%3D" TargetMode="External"/><Relationship Id="rId8" Type="http://schemas.openxmlformats.org/officeDocument/2006/relationships/hyperlink" Target="https://www.mouser.pl/en/ProductDetail/KEMET/C0402C220K4RACTU?qs=sGAEpiMZZMsh%252B1woXyUXjy5CflaGJNNRjmNMUjRxieY%3D" TargetMode="External"/><Relationship Id="rId51" Type="http://schemas.openxmlformats.org/officeDocument/2006/relationships/hyperlink" Target="https://www.mouser.pl/en/ProductDetail/Murata-Electronics/NXRT15XH103FA1B040?qs=bX1%252BNvsK%2FBqTpGl5plN64w%3D%3D" TargetMode="External"/><Relationship Id="rId3" Type="http://schemas.openxmlformats.org/officeDocument/2006/relationships/hyperlink" Target="https://www.mouser.pl/en/ProductDetail/Murata-Electronics/GRM155R61A475MEAAD?qs=AEetWsPH0IuXrVCc8yqzOA%3D%3D" TargetMode="External"/><Relationship Id="rId12" Type="http://schemas.openxmlformats.org/officeDocument/2006/relationships/hyperlink" Target="https://www.mouser.pl/en/ProductDetail/Murata-Electronics/GRM155R61H474ME11D?qs=sGAEpiMZZMsh%252B1woXyUXj0NeTkCQpv5AjJVSV1GzUIw%3D" TargetMode="External"/><Relationship Id="rId17" Type="http://schemas.openxmlformats.org/officeDocument/2006/relationships/hyperlink" Target="https://www.mouser.pl/en/ProductDetail/Eaton-Electronics/MFBM1V2012-101-R?qs=sGAEpiMZZMt1hubY80%2Fs8FPrdxb49HgJpyB29N%252BY1lpVIqdeBozpxw%3D%3D" TargetMode="External"/><Relationship Id="rId25" Type="http://schemas.openxmlformats.org/officeDocument/2006/relationships/hyperlink" Target="https://www.mouser.pl/en/ProductDetail/Murata-Electronics/DFE201610E-1R0M%3dP2?qs=AQlKX63v8Rt1GlLg%252BymCUQ%3D%3D" TargetMode="External"/><Relationship Id="rId33" Type="http://schemas.openxmlformats.org/officeDocument/2006/relationships/hyperlink" Target="https://www.mouser.pl/en/ProductDetail/Vishay/CRCW040211K0FKEDC?qs=E3Y5ESvWgWOTqs0rVNeJew%3D%3D" TargetMode="External"/><Relationship Id="rId38" Type="http://schemas.openxmlformats.org/officeDocument/2006/relationships/hyperlink" Target="https://www.mouser.pl/en/ProductDetail/Bourns/CR0402-JW-104GLF?qs=K5ddiUFZPT6F5Sk3R93%2Fiw%3D%3D" TargetMode="External"/><Relationship Id="rId46" Type="http://schemas.openxmlformats.org/officeDocument/2006/relationships/hyperlink" Target="https://www.mouser.pl/en/ProductDetail/Walsin/WR04X271-JTL?qs=1w%252B2sDiFrrF1krqaMjnQrg%3D%3D" TargetMode="External"/><Relationship Id="rId20" Type="http://schemas.openxmlformats.org/officeDocument/2006/relationships/hyperlink" Target="https://pl.aliexpress.com/i/1005011929805463.html?gatewayAdapt=glo2pol" TargetMode="External"/><Relationship Id="rId41" Type="http://schemas.openxmlformats.org/officeDocument/2006/relationships/hyperlink" Target="https://www.mouser.com/ProductDetail/Vishay/CRCW0402768KFKED?qs=CrYM0bloiFJM%252Bg4a2Fs2hQ%3D%3D" TargetMode="External"/><Relationship Id="rId54" Type="http://schemas.openxmlformats.org/officeDocument/2006/relationships/hyperlink" Target="https://www.mouser.pl/en/ProductDetail/TXC-Corporation/7M-27.120MEEQ-T?qs=65dIHZNch5vpCedHjSv71Q%3D%3D" TargetMode="External"/><Relationship Id="rId1" Type="http://schemas.openxmlformats.org/officeDocument/2006/relationships/hyperlink" Target="https://www.mouser.pl/en/ProductDetail/PUI-Audio/SMT-1227-T?qs=HoCaDK9Nz5ei3R2VXxeIrQ%3D%3D" TargetMode="External"/><Relationship Id="rId6" Type="http://schemas.openxmlformats.org/officeDocument/2006/relationships/hyperlink" Target="https://www.mouser.pl/pl/ProductDetail/TDK/C1608X5R1A226M080AC?qs=dfay7wIA1uED3Fb1o4f9Dg%3D%3D" TargetMode="External"/><Relationship Id="rId15" Type="http://schemas.openxmlformats.org/officeDocument/2006/relationships/hyperlink" Target="https://assets.nexperia.com/documents/data-sheet/PTVS5V0Z1USK.pdf" TargetMode="External"/><Relationship Id="rId23" Type="http://schemas.openxmlformats.org/officeDocument/2006/relationships/hyperlink" Target="https://www.mouser.pl/en/ProductDetail/JST-Commercial/SM03B-SRSS-TBLFSN?qs=cdbOS8ANM9DY%2Fg%2FPQv5Kng%3D%3D" TargetMode="External"/><Relationship Id="rId28" Type="http://schemas.openxmlformats.org/officeDocument/2006/relationships/hyperlink" Target="https://www.mouser.pl/en/ProductDetail/Nexperia/BSS84AK215?qs=A1cBxND5mHJndJgHJTE1yg%3D%3D" TargetMode="External"/><Relationship Id="rId36" Type="http://schemas.openxmlformats.org/officeDocument/2006/relationships/hyperlink" Target="https://www.mouser.pl/en/ProductDetail/SEI-Stackpole/RMCF0402JT1K00?qs=FESYatJ8odLbN2FLQhkaDA%3D%3D" TargetMode="External"/><Relationship Id="rId49" Type="http://schemas.openxmlformats.org/officeDocument/2006/relationships/hyperlink" Target="https://www.mouser.pl/en/ProductDetail/Same-Sky/TS11-674-105-BK-160-RA-D?qs=t7xnP681wgVMt99Ag6QXtw%3D%3D" TargetMode="External"/><Relationship Id="rId57" Type="http://schemas.openxmlformats.org/officeDocument/2006/relationships/hyperlink" Target="https://www.mouser.pl/en/ProductDetail/YAGEO/RT0402FRE0746K4L?qs=sGAEpiMZZMtlubZbdhIBIFrRfcQHbHIX0X7YE9PIy78%3D" TargetMode="External"/><Relationship Id="rId10" Type="http://schemas.openxmlformats.org/officeDocument/2006/relationships/hyperlink" Target="https://www.mouser.pl/en/ProductDetail/Walsin/0402B221K250CT?qs=fIkAfuXiAQKCr%252B1zhkN6zQ%3D%3D" TargetMode="External"/><Relationship Id="rId31" Type="http://schemas.openxmlformats.org/officeDocument/2006/relationships/hyperlink" Target="https://www.mouser.pl/en/ProductDetail/Walsin/WR04X112-JTL?qs=vmHwEFxEFR%252BUJTqIeP8Qjw%3D%3D" TargetMode="External"/><Relationship Id="rId44" Type="http://schemas.openxmlformats.org/officeDocument/2006/relationships/hyperlink" Target="https://www.mouser.pl/en/ProductDetail/TE-Connectivity-Holsworthy/CRG0402F2K7?qs=HLeXuo0aL2q7SOhAm5xJiA%3D%3D" TargetMode="External"/><Relationship Id="rId52" Type="http://schemas.openxmlformats.org/officeDocument/2006/relationships/hyperlink" Target="https://www.mouser.pl/en/ProductDetail/Raspberry-Pi/SC091413?qs=T%252BzbugeAwjhr%252BUbBr3TJc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74B1-AAAF-4BD8-9993-51C305738082}">
  <dimension ref="A1:G63"/>
  <sheetViews>
    <sheetView tabSelected="1" topLeftCell="B29" workbookViewId="0">
      <selection activeCell="F65" sqref="F65"/>
    </sheetView>
  </sheetViews>
  <sheetFormatPr defaultRowHeight="15" x14ac:dyDescent="0.25"/>
  <cols>
    <col min="1" max="1" width="90.42578125" bestFit="1" customWidth="1"/>
    <col min="2" max="2" width="114.5703125" bestFit="1" customWidth="1"/>
    <col min="3" max="3" width="6.42578125" bestFit="1" customWidth="1"/>
    <col min="4" max="4" width="10.140625" style="5" bestFit="1" customWidth="1"/>
    <col min="5" max="5" width="11.5703125" style="2" bestFit="1" customWidth="1"/>
    <col min="6" max="6" width="26.85546875" style="4" bestFit="1" customWidth="1"/>
    <col min="7" max="7" width="150.85546875" bestFit="1" customWidth="1"/>
  </cols>
  <sheetData>
    <row r="1" spans="1:7" x14ac:dyDescent="0.25">
      <c r="A1" t="s">
        <v>0</v>
      </c>
      <c r="B1" t="s">
        <v>2</v>
      </c>
      <c r="C1" t="s">
        <v>1</v>
      </c>
      <c r="D1" s="5" t="s">
        <v>145</v>
      </c>
      <c r="E1" s="2" t="s">
        <v>146</v>
      </c>
      <c r="F1" s="4" t="s">
        <v>184</v>
      </c>
      <c r="G1" t="s">
        <v>185</v>
      </c>
    </row>
    <row r="2" spans="1:7" x14ac:dyDescent="0.25">
      <c r="A2" t="s">
        <v>3</v>
      </c>
      <c r="B2" t="s">
        <v>4</v>
      </c>
      <c r="C2">
        <v>1</v>
      </c>
      <c r="D2" s="5">
        <v>10.039999999999999</v>
      </c>
      <c r="E2" s="2">
        <f>RFID__2[[#This Row],[Qty]]*RFID__2[[#This Row],[Price]]</f>
        <v>10.039999999999999</v>
      </c>
      <c r="F2" s="4" t="s">
        <v>144</v>
      </c>
      <c r="G2" s="1" t="s">
        <v>5</v>
      </c>
    </row>
    <row r="3" spans="1:7" x14ac:dyDescent="0.25">
      <c r="A3" t="s">
        <v>6</v>
      </c>
      <c r="B3" t="s">
        <v>7</v>
      </c>
      <c r="C3">
        <v>5</v>
      </c>
      <c r="D3" s="6">
        <v>0.36099999999999999</v>
      </c>
      <c r="E3" s="3">
        <f>RFID__2[[#This Row],[Qty]]*RFID__2[[#This Row],[Price]]</f>
        <v>1.8049999999999999</v>
      </c>
      <c r="F3" s="4" t="s">
        <v>147</v>
      </c>
      <c r="G3" s="1" t="s">
        <v>8</v>
      </c>
    </row>
    <row r="4" spans="1:7" x14ac:dyDescent="0.25">
      <c r="A4" t="s">
        <v>9</v>
      </c>
      <c r="B4" t="s">
        <v>10</v>
      </c>
      <c r="C4">
        <v>4</v>
      </c>
      <c r="D4" s="6">
        <v>0.39900000000000002</v>
      </c>
      <c r="E4" s="3">
        <f>RFID__2[[#This Row],[Qty]]*RFID__2[[#This Row],[Price]]</f>
        <v>1.5960000000000001</v>
      </c>
      <c r="F4" s="4" t="s">
        <v>148</v>
      </c>
      <c r="G4" s="1" t="s">
        <v>11</v>
      </c>
    </row>
    <row r="5" spans="1:7" x14ac:dyDescent="0.25">
      <c r="A5" t="s">
        <v>168</v>
      </c>
      <c r="B5" t="s">
        <v>12</v>
      </c>
      <c r="C5">
        <v>21</v>
      </c>
      <c r="D5" s="6">
        <v>0.105</v>
      </c>
      <c r="E5" s="3">
        <f>RFID__2[[#This Row],[Qty]]*RFID__2[[#This Row],[Price]]</f>
        <v>2.2050000000000001</v>
      </c>
      <c r="F5" s="4" t="s">
        <v>149</v>
      </c>
      <c r="G5" s="1" t="s">
        <v>13</v>
      </c>
    </row>
    <row r="6" spans="1:7" x14ac:dyDescent="0.25">
      <c r="A6" t="s">
        <v>14</v>
      </c>
      <c r="B6" t="s">
        <v>15</v>
      </c>
      <c r="C6">
        <v>1</v>
      </c>
      <c r="D6" s="5">
        <v>1.41</v>
      </c>
      <c r="E6" s="2">
        <f>RFID__2[[#This Row],[Qty]]*RFID__2[[#This Row],[Price]]</f>
        <v>1.41</v>
      </c>
      <c r="F6" s="4" t="s">
        <v>150</v>
      </c>
      <c r="G6" s="1" t="s">
        <v>161</v>
      </c>
    </row>
    <row r="7" spans="1:7" x14ac:dyDescent="0.25">
      <c r="A7" t="s">
        <v>16</v>
      </c>
      <c r="B7" t="s">
        <v>17</v>
      </c>
      <c r="C7">
        <v>1</v>
      </c>
      <c r="D7" s="5">
        <v>1.08</v>
      </c>
      <c r="E7" s="2">
        <f>RFID__2[[#This Row],[Qty]]*RFID__2[[#This Row],[Price]]</f>
        <v>1.08</v>
      </c>
      <c r="F7" s="4" t="s">
        <v>151</v>
      </c>
      <c r="G7" s="1" t="s">
        <v>18</v>
      </c>
    </row>
    <row r="8" spans="1:7" x14ac:dyDescent="0.25">
      <c r="A8" t="s">
        <v>19</v>
      </c>
      <c r="B8" t="s">
        <v>20</v>
      </c>
      <c r="C8">
        <v>1</v>
      </c>
      <c r="D8" s="5">
        <v>1.63</v>
      </c>
      <c r="E8" s="2">
        <f>RFID__2[[#This Row],[Qty]]*RFID__2[[#This Row],[Price]]</f>
        <v>1.63</v>
      </c>
      <c r="F8" s="4" t="s">
        <v>152</v>
      </c>
      <c r="G8" s="1" t="s">
        <v>21</v>
      </c>
    </row>
    <row r="9" spans="1:7" x14ac:dyDescent="0.25">
      <c r="A9" t="s">
        <v>22</v>
      </c>
      <c r="B9" t="s">
        <v>23</v>
      </c>
      <c r="C9">
        <v>2</v>
      </c>
      <c r="D9" s="6">
        <v>0.65100000000000002</v>
      </c>
      <c r="E9" s="3">
        <f>RFID__2[[#This Row],[Qty]]*RFID__2[[#This Row],[Price]]</f>
        <v>1.302</v>
      </c>
      <c r="F9" s="4" t="s">
        <v>153</v>
      </c>
      <c r="G9" s="1" t="s">
        <v>24</v>
      </c>
    </row>
    <row r="10" spans="1:7" x14ac:dyDescent="0.25">
      <c r="A10" t="s">
        <v>25</v>
      </c>
      <c r="B10" t="s">
        <v>26</v>
      </c>
      <c r="C10">
        <v>1</v>
      </c>
      <c r="D10" s="5">
        <v>0.5</v>
      </c>
      <c r="E10" s="2">
        <f>RFID__2[[#This Row],[Qty]]*RFID__2[[#This Row],[Price]]</f>
        <v>0.5</v>
      </c>
      <c r="F10" s="4" t="s">
        <v>154</v>
      </c>
      <c r="G10" s="1" t="s">
        <v>27</v>
      </c>
    </row>
    <row r="11" spans="1:7" x14ac:dyDescent="0.25">
      <c r="A11" t="s">
        <v>28</v>
      </c>
      <c r="B11" t="s">
        <v>29</v>
      </c>
      <c r="C11">
        <v>2</v>
      </c>
      <c r="D11" s="6">
        <v>0.45400000000000001</v>
      </c>
      <c r="E11" s="3">
        <f>RFID__2[[#This Row],[Qty]]*RFID__2[[#This Row],[Price]]</f>
        <v>0.90800000000000003</v>
      </c>
      <c r="F11" s="4" t="s">
        <v>31</v>
      </c>
      <c r="G11" s="1" t="s">
        <v>30</v>
      </c>
    </row>
    <row r="12" spans="1:7" x14ac:dyDescent="0.25">
      <c r="A12" t="s">
        <v>169</v>
      </c>
      <c r="C12">
        <v>2</v>
      </c>
      <c r="E12" s="2">
        <f>RFID__2[[#This Row],[Qty]]*RFID__2[[#This Row],[Price]]</f>
        <v>0</v>
      </c>
      <c r="G12" t="s">
        <v>32</v>
      </c>
    </row>
    <row r="13" spans="1:7" x14ac:dyDescent="0.25">
      <c r="A13" t="s">
        <v>170</v>
      </c>
      <c r="C13">
        <v>2</v>
      </c>
      <c r="E13" s="2">
        <f>RFID__2[[#This Row],[Qty]]*RFID__2[[#This Row],[Price]]</f>
        <v>0</v>
      </c>
    </row>
    <row r="14" spans="1:7" x14ac:dyDescent="0.25">
      <c r="A14" t="s">
        <v>33</v>
      </c>
      <c r="B14" t="s">
        <v>34</v>
      </c>
      <c r="C14">
        <v>2</v>
      </c>
      <c r="D14" s="5">
        <v>1.08</v>
      </c>
      <c r="E14" s="2">
        <f>RFID__2[[#This Row],[Qty]]*RFID__2[[#This Row],[Price]]</f>
        <v>2.16</v>
      </c>
      <c r="F14" s="4" t="s">
        <v>155</v>
      </c>
      <c r="G14" s="1" t="s">
        <v>35</v>
      </c>
    </row>
    <row r="15" spans="1:7" x14ac:dyDescent="0.25">
      <c r="A15" t="s">
        <v>36</v>
      </c>
      <c r="B15" t="s">
        <v>37</v>
      </c>
      <c r="C15">
        <v>1</v>
      </c>
      <c r="D15" s="6">
        <v>0.39900000000000002</v>
      </c>
      <c r="E15" s="3">
        <f>RFID__2[[#This Row],[Qty]]*RFID__2[[#This Row],[Price]]</f>
        <v>0.39900000000000002</v>
      </c>
      <c r="F15" s="4" t="s">
        <v>156</v>
      </c>
      <c r="G15" s="1" t="s">
        <v>38</v>
      </c>
    </row>
    <row r="16" spans="1:7" x14ac:dyDescent="0.25">
      <c r="A16" t="s">
        <v>39</v>
      </c>
      <c r="B16" t="s">
        <v>173</v>
      </c>
      <c r="C16">
        <v>1</v>
      </c>
      <c r="D16" s="6">
        <v>0.83199999999999996</v>
      </c>
      <c r="E16" s="3">
        <f>RFID__2[[#This Row],[Qty]]*RFID__2[[#This Row],[Price]]</f>
        <v>0.83199999999999996</v>
      </c>
      <c r="F16" s="4" t="s">
        <v>172</v>
      </c>
      <c r="G16" s="1" t="s">
        <v>171</v>
      </c>
    </row>
    <row r="17" spans="1:7" x14ac:dyDescent="0.25">
      <c r="A17" t="s">
        <v>40</v>
      </c>
      <c r="B17" t="s">
        <v>173</v>
      </c>
      <c r="C17">
        <v>3</v>
      </c>
      <c r="D17" s="5">
        <v>2.39</v>
      </c>
      <c r="E17" s="2">
        <f>RFID__2[[#This Row],[Qty]]*RFID__2[[#This Row],[Price]]</f>
        <v>7.17</v>
      </c>
      <c r="F17" s="4" t="s">
        <v>157</v>
      </c>
      <c r="G17" s="1" t="s">
        <v>41</v>
      </c>
    </row>
    <row r="18" spans="1:7" x14ac:dyDescent="0.25">
      <c r="A18" t="s">
        <v>162</v>
      </c>
      <c r="B18" t="s">
        <v>173</v>
      </c>
      <c r="C18">
        <v>2</v>
      </c>
      <c r="D18" s="5">
        <v>1.23</v>
      </c>
      <c r="E18" s="2">
        <f>RFID__2[[#This Row],[Qty]]*RFID__2[[#This Row],[Price]]</f>
        <v>2.46</v>
      </c>
      <c r="F18" s="4">
        <v>824520600</v>
      </c>
      <c r="G18" s="1" t="s">
        <v>42</v>
      </c>
    </row>
    <row r="19" spans="1:7" x14ac:dyDescent="0.25">
      <c r="A19" t="s">
        <v>43</v>
      </c>
      <c r="B19" t="s">
        <v>174</v>
      </c>
      <c r="C19">
        <v>1</v>
      </c>
      <c r="D19" s="5">
        <v>1.1599999999999999</v>
      </c>
      <c r="E19" s="2">
        <f>RFID__2[[#This Row],[Qty]]*RFID__2[[#This Row],[Price]]</f>
        <v>1.1599999999999999</v>
      </c>
      <c r="F19" s="4" t="s">
        <v>158</v>
      </c>
      <c r="G19" s="1" t="s">
        <v>44</v>
      </c>
    </row>
    <row r="20" spans="1:7" x14ac:dyDescent="0.25">
      <c r="A20" t="s">
        <v>45</v>
      </c>
      <c r="B20" t="s">
        <v>46</v>
      </c>
      <c r="C20">
        <v>1</v>
      </c>
      <c r="D20" s="6">
        <v>0.36099999999999999</v>
      </c>
      <c r="E20" s="3">
        <f>RFID__2[[#This Row],[Qty]]*RFID__2[[#This Row],[Price]]</f>
        <v>0.36099999999999999</v>
      </c>
      <c r="F20" s="4" t="s">
        <v>159</v>
      </c>
      <c r="G20" s="1" t="s">
        <v>47</v>
      </c>
    </row>
    <row r="21" spans="1:7" x14ac:dyDescent="0.25">
      <c r="A21" t="s">
        <v>163</v>
      </c>
      <c r="B21" t="s">
        <v>49</v>
      </c>
      <c r="C21">
        <v>2</v>
      </c>
      <c r="D21" s="6">
        <v>0.36099999999999999</v>
      </c>
      <c r="E21" s="3">
        <f>RFID__2[[#This Row],[Qty]]*RFID__2[[#This Row],[Price]]</f>
        <v>0.72199999999999998</v>
      </c>
      <c r="F21" s="4" t="s">
        <v>160</v>
      </c>
      <c r="G21" s="1" t="s">
        <v>48</v>
      </c>
    </row>
    <row r="22" spans="1:7" x14ac:dyDescent="0.25">
      <c r="A22" t="s">
        <v>50</v>
      </c>
      <c r="B22" t="s">
        <v>175</v>
      </c>
      <c r="C22">
        <v>5</v>
      </c>
      <c r="D22" s="6">
        <v>1.5780000000000001</v>
      </c>
      <c r="E22" s="2">
        <f>RFID__2[[#This Row],[Qty]]*RFID__2[[#This Row],[Price]]</f>
        <v>7.8900000000000006</v>
      </c>
      <c r="F22" s="4" t="s">
        <v>51</v>
      </c>
      <c r="G22" s="1" t="s">
        <v>176</v>
      </c>
    </row>
    <row r="23" spans="1:7" x14ac:dyDescent="0.25">
      <c r="A23" t="s">
        <v>52</v>
      </c>
      <c r="B23" t="s">
        <v>178</v>
      </c>
      <c r="C23">
        <v>5</v>
      </c>
      <c r="D23" s="6">
        <v>6.5979999999999999</v>
      </c>
      <c r="E23" s="2">
        <f>RFID__2[[#This Row],[Qty]]*RFID__2[[#This Row],[Price]]</f>
        <v>32.99</v>
      </c>
      <c r="F23" s="4" t="s">
        <v>177</v>
      </c>
      <c r="G23" s="1" t="s">
        <v>179</v>
      </c>
    </row>
    <row r="24" spans="1:7" x14ac:dyDescent="0.25">
      <c r="A24" t="s">
        <v>53</v>
      </c>
      <c r="B24" t="s">
        <v>180</v>
      </c>
      <c r="C24">
        <v>1</v>
      </c>
      <c r="D24" s="5">
        <v>12.39</v>
      </c>
      <c r="E24" s="2">
        <f>RFID__2[[#This Row],[Qty]]*RFID__2[[#This Row],[Price]]</f>
        <v>12.39</v>
      </c>
      <c r="F24" s="4" t="s">
        <v>182</v>
      </c>
      <c r="G24" s="1" t="s">
        <v>181</v>
      </c>
    </row>
    <row r="25" spans="1:7" x14ac:dyDescent="0.25">
      <c r="A25" t="s">
        <v>54</v>
      </c>
      <c r="B25" t="s">
        <v>187</v>
      </c>
      <c r="C25">
        <v>1</v>
      </c>
      <c r="D25" s="5">
        <v>4.45</v>
      </c>
      <c r="E25" s="2">
        <f>RFID__2[[#This Row],[Qty]]*RFID__2[[#This Row],[Price]]</f>
        <v>4.45</v>
      </c>
      <c r="F25" s="4" t="s">
        <v>186</v>
      </c>
      <c r="G25" s="1" t="s">
        <v>183</v>
      </c>
    </row>
    <row r="26" spans="1:7" x14ac:dyDescent="0.25">
      <c r="A26" t="s">
        <v>55</v>
      </c>
      <c r="B26" t="s">
        <v>190</v>
      </c>
      <c r="C26">
        <v>1</v>
      </c>
      <c r="D26" s="5">
        <v>1.63</v>
      </c>
      <c r="E26" s="2">
        <f>RFID__2[[#This Row],[Qty]]*RFID__2[[#This Row],[Price]]</f>
        <v>1.63</v>
      </c>
      <c r="F26" s="4" t="s">
        <v>189</v>
      </c>
      <c r="G26" s="1" t="s">
        <v>188</v>
      </c>
    </row>
    <row r="27" spans="1:7" x14ac:dyDescent="0.25">
      <c r="A27" t="s">
        <v>193</v>
      </c>
      <c r="B27" t="s">
        <v>194</v>
      </c>
      <c r="C27">
        <v>3</v>
      </c>
      <c r="D27" s="5">
        <v>1.44</v>
      </c>
      <c r="E27" s="2">
        <f>RFID__2[[#This Row],[Qty]]*RFID__2[[#This Row],[Price]]</f>
        <v>4.32</v>
      </c>
      <c r="F27" s="4" t="s">
        <v>59</v>
      </c>
      <c r="G27" s="1" t="s">
        <v>58</v>
      </c>
    </row>
    <row r="28" spans="1:7" x14ac:dyDescent="0.25">
      <c r="A28" t="s">
        <v>56</v>
      </c>
      <c r="B28" t="s">
        <v>191</v>
      </c>
      <c r="C28">
        <v>1</v>
      </c>
      <c r="D28" s="5">
        <v>1.7</v>
      </c>
      <c r="E28" s="2">
        <f>RFID__2[[#This Row],[Qty]]*RFID__2[[#This Row],[Price]]</f>
        <v>1.7</v>
      </c>
      <c r="F28" s="4" t="s">
        <v>57</v>
      </c>
      <c r="G28" s="1" t="s">
        <v>192</v>
      </c>
    </row>
    <row r="29" spans="1:7" x14ac:dyDescent="0.25">
      <c r="A29" t="s">
        <v>60</v>
      </c>
      <c r="B29" t="s">
        <v>7</v>
      </c>
      <c r="C29">
        <v>1</v>
      </c>
      <c r="D29" s="6">
        <v>0.90300000000000002</v>
      </c>
      <c r="E29" s="3">
        <f>RFID__2[[#This Row],[Qty]]*RFID__2[[#This Row],[Price]]</f>
        <v>0.90300000000000002</v>
      </c>
      <c r="F29" s="4" t="s">
        <v>196</v>
      </c>
      <c r="G29" s="1" t="s">
        <v>195</v>
      </c>
    </row>
    <row r="30" spans="1:7" x14ac:dyDescent="0.25">
      <c r="A30" t="s">
        <v>61</v>
      </c>
      <c r="B30" t="s">
        <v>62</v>
      </c>
      <c r="C30">
        <v>2</v>
      </c>
      <c r="D30" s="6">
        <v>0.72199999999999998</v>
      </c>
      <c r="E30" s="3">
        <f>RFID__2[[#This Row],[Qty]]*RFID__2[[#This Row],[Price]]</f>
        <v>1.444</v>
      </c>
      <c r="F30" s="4" t="s">
        <v>64</v>
      </c>
      <c r="G30" s="1" t="s">
        <v>63</v>
      </c>
    </row>
    <row r="31" spans="1:7" x14ac:dyDescent="0.25">
      <c r="A31" t="s">
        <v>65</v>
      </c>
      <c r="B31" t="s">
        <v>66</v>
      </c>
      <c r="C31">
        <v>1</v>
      </c>
      <c r="D31" s="5">
        <v>1.44</v>
      </c>
      <c r="E31" s="2">
        <f>RFID__2[[#This Row],[Qty]]*RFID__2[[#This Row],[Price]]</f>
        <v>1.44</v>
      </c>
      <c r="F31" s="4" t="s">
        <v>208</v>
      </c>
      <c r="G31" s="1" t="s">
        <v>209</v>
      </c>
    </row>
    <row r="32" spans="1:7" x14ac:dyDescent="0.25">
      <c r="A32" t="s">
        <v>67</v>
      </c>
      <c r="B32" t="s">
        <v>210</v>
      </c>
      <c r="C32">
        <v>1</v>
      </c>
      <c r="D32" s="6">
        <v>0.72199999999999998</v>
      </c>
      <c r="E32" s="3">
        <f>RFID__2[[#This Row],[Qty]]*RFID__2[[#This Row],[Price]]</f>
        <v>0.72199999999999998</v>
      </c>
      <c r="F32" s="4" t="s">
        <v>68</v>
      </c>
      <c r="G32" s="1" t="s">
        <v>69</v>
      </c>
    </row>
    <row r="33" spans="1:7" x14ac:dyDescent="0.25">
      <c r="A33" t="s">
        <v>70</v>
      </c>
      <c r="B33" t="s">
        <v>211</v>
      </c>
      <c r="C33">
        <v>1</v>
      </c>
      <c r="D33" s="6">
        <v>0.504</v>
      </c>
      <c r="E33" s="3">
        <f>RFID__2[[#This Row],[Qty]]*RFID__2[[#This Row],[Price]]</f>
        <v>0.504</v>
      </c>
      <c r="F33" s="4" t="s">
        <v>71</v>
      </c>
      <c r="G33" s="1" t="s">
        <v>72</v>
      </c>
    </row>
    <row r="34" spans="1:7" x14ac:dyDescent="0.25">
      <c r="A34" t="s">
        <v>73</v>
      </c>
      <c r="B34" t="s">
        <v>212</v>
      </c>
      <c r="C34">
        <v>1</v>
      </c>
      <c r="D34" s="6">
        <v>0.36099999999999999</v>
      </c>
      <c r="E34" s="3">
        <f>RFID__2[[#This Row],[Qty]]*RFID__2[[#This Row],[Price]]</f>
        <v>0.36099999999999999</v>
      </c>
      <c r="F34" s="4" t="s">
        <v>214</v>
      </c>
      <c r="G34" s="1" t="s">
        <v>213</v>
      </c>
    </row>
    <row r="35" spans="1:7" x14ac:dyDescent="0.25">
      <c r="A35" t="s">
        <v>74</v>
      </c>
      <c r="B35" t="s">
        <v>75</v>
      </c>
      <c r="C35">
        <v>1</v>
      </c>
      <c r="D35" s="6">
        <v>0.36099999999999999</v>
      </c>
      <c r="E35" s="3">
        <f>RFID__2[[#This Row],[Qty]]*RFID__2[[#This Row],[Price]]</f>
        <v>0.36099999999999999</v>
      </c>
      <c r="F35" s="4" t="s">
        <v>77</v>
      </c>
      <c r="G35" s="1" t="s">
        <v>76</v>
      </c>
    </row>
    <row r="36" spans="1:7" x14ac:dyDescent="0.25">
      <c r="A36" t="s">
        <v>78</v>
      </c>
      <c r="B36" t="s">
        <v>79</v>
      </c>
      <c r="C36">
        <v>1</v>
      </c>
      <c r="D36" s="6">
        <v>0.45400000000000001</v>
      </c>
      <c r="E36" s="3">
        <f>RFID__2[[#This Row],[Qty]]*RFID__2[[#This Row],[Price]]</f>
        <v>0.45400000000000001</v>
      </c>
      <c r="F36" s="4" t="s">
        <v>215</v>
      </c>
      <c r="G36" s="1" t="s">
        <v>80</v>
      </c>
    </row>
    <row r="37" spans="1:7" x14ac:dyDescent="0.25">
      <c r="A37" t="s">
        <v>81</v>
      </c>
      <c r="B37" t="s">
        <v>82</v>
      </c>
      <c r="C37">
        <v>1</v>
      </c>
      <c r="D37" s="6">
        <v>0.36099999999999999</v>
      </c>
      <c r="E37" s="3">
        <f>RFID__2[[#This Row],[Qty]]*RFID__2[[#This Row],[Price]]</f>
        <v>0.36099999999999999</v>
      </c>
      <c r="F37" s="4" t="s">
        <v>197</v>
      </c>
      <c r="G37" s="1" t="s">
        <v>83</v>
      </c>
    </row>
    <row r="38" spans="1:7" x14ac:dyDescent="0.25">
      <c r="A38" t="s">
        <v>84</v>
      </c>
      <c r="B38" t="s">
        <v>85</v>
      </c>
      <c r="C38">
        <v>1</v>
      </c>
      <c r="D38" s="6">
        <v>0.36099999999999999</v>
      </c>
      <c r="E38" s="3">
        <f>RFID__2[[#This Row],[Qty]]*RFID__2[[#This Row],[Price]]</f>
        <v>0.36099999999999999</v>
      </c>
      <c r="F38" s="4" t="s">
        <v>87</v>
      </c>
      <c r="G38" s="1" t="s">
        <v>86</v>
      </c>
    </row>
    <row r="39" spans="1:7" x14ac:dyDescent="0.25">
      <c r="A39" t="s">
        <v>88</v>
      </c>
      <c r="B39" t="s">
        <v>89</v>
      </c>
      <c r="C39">
        <v>1</v>
      </c>
      <c r="D39" s="6">
        <v>0.36099999999999999</v>
      </c>
      <c r="E39" s="3">
        <f>RFID__2[[#This Row],[Qty]]*RFID__2[[#This Row],[Price]]</f>
        <v>0.36099999999999999</v>
      </c>
      <c r="F39" s="4" t="s">
        <v>91</v>
      </c>
      <c r="G39" s="1" t="s">
        <v>90</v>
      </c>
    </row>
    <row r="40" spans="1:7" x14ac:dyDescent="0.25">
      <c r="A40" t="s">
        <v>92</v>
      </c>
      <c r="B40" t="s">
        <v>93</v>
      </c>
      <c r="C40">
        <v>2</v>
      </c>
      <c r="D40" s="6">
        <v>0.36099999999999999</v>
      </c>
      <c r="E40" s="3">
        <f>RFID__2[[#This Row],[Qty]]*RFID__2[[#This Row],[Price]]</f>
        <v>0.72199999999999998</v>
      </c>
      <c r="F40" s="4" t="s">
        <v>198</v>
      </c>
      <c r="G40" s="1" t="s">
        <v>94</v>
      </c>
    </row>
    <row r="41" spans="1:7" x14ac:dyDescent="0.25">
      <c r="A41" t="s">
        <v>95</v>
      </c>
      <c r="B41" t="s">
        <v>96</v>
      </c>
      <c r="C41">
        <v>2</v>
      </c>
      <c r="D41" s="6">
        <v>0.36099999999999999</v>
      </c>
      <c r="E41" s="3">
        <f>RFID__2[[#This Row],[Qty]]*RFID__2[[#This Row],[Price]]</f>
        <v>0.72199999999999998</v>
      </c>
      <c r="F41" s="4" t="s">
        <v>199</v>
      </c>
      <c r="G41" s="1" t="s">
        <v>97</v>
      </c>
    </row>
    <row r="42" spans="1:7" x14ac:dyDescent="0.25">
      <c r="A42" t="s">
        <v>98</v>
      </c>
      <c r="B42" t="s">
        <v>99</v>
      </c>
      <c r="C42">
        <v>5</v>
      </c>
      <c r="D42" s="6">
        <v>0.36099999999999999</v>
      </c>
      <c r="E42" s="3">
        <f>RFID__2[[#This Row],[Qty]]*RFID__2[[#This Row],[Price]]</f>
        <v>1.8049999999999999</v>
      </c>
      <c r="F42" s="4" t="s">
        <v>200</v>
      </c>
      <c r="G42" s="1" t="s">
        <v>100</v>
      </c>
    </row>
    <row r="43" spans="1:7" x14ac:dyDescent="0.25">
      <c r="A43" t="s">
        <v>101</v>
      </c>
      <c r="B43" t="s">
        <v>82</v>
      </c>
      <c r="C43">
        <v>1</v>
      </c>
      <c r="D43" s="6">
        <v>0.36099999999999999</v>
      </c>
      <c r="E43" s="3">
        <f>RFID__2[[#This Row],[Qty]]*RFID__2[[#This Row],[Price]]</f>
        <v>0.36099999999999999</v>
      </c>
      <c r="F43" s="4" t="s">
        <v>201</v>
      </c>
      <c r="G43" s="1" t="s">
        <v>102</v>
      </c>
    </row>
    <row r="44" spans="1:7" x14ac:dyDescent="0.25">
      <c r="A44" t="s">
        <v>103</v>
      </c>
      <c r="B44" t="s">
        <v>104</v>
      </c>
      <c r="C44">
        <v>1</v>
      </c>
      <c r="D44" s="6">
        <v>0.36099999999999999</v>
      </c>
      <c r="E44" s="3">
        <f>RFID__2[[#This Row],[Qty]]*RFID__2[[#This Row],[Price]]</f>
        <v>0.36099999999999999</v>
      </c>
      <c r="F44" s="4" t="s">
        <v>202</v>
      </c>
      <c r="G44" s="1" t="s">
        <v>105</v>
      </c>
    </row>
    <row r="45" spans="1:7" x14ac:dyDescent="0.25">
      <c r="A45" t="s">
        <v>106</v>
      </c>
      <c r="B45" t="s">
        <v>107</v>
      </c>
      <c r="C45">
        <v>1</v>
      </c>
      <c r="D45" s="6">
        <v>0.36099999999999999</v>
      </c>
      <c r="E45" s="3">
        <f>RFID__2[[#This Row],[Qty]]*RFID__2[[#This Row],[Price]]</f>
        <v>0.36099999999999999</v>
      </c>
      <c r="F45" s="4" t="s">
        <v>203</v>
      </c>
      <c r="G45" s="1" t="s">
        <v>216</v>
      </c>
    </row>
    <row r="46" spans="1:7" x14ac:dyDescent="0.25">
      <c r="A46" t="s">
        <v>108</v>
      </c>
      <c r="B46" t="s">
        <v>109</v>
      </c>
      <c r="C46">
        <v>1</v>
      </c>
      <c r="D46" s="6">
        <v>0.36099999999999999</v>
      </c>
      <c r="E46" s="3">
        <f>RFID__2[[#This Row],[Qty]]*RFID__2[[#This Row],[Price]]</f>
        <v>0.36099999999999999</v>
      </c>
      <c r="F46" s="4" t="s">
        <v>204</v>
      </c>
      <c r="G46" s="1" t="s">
        <v>110</v>
      </c>
    </row>
    <row r="47" spans="1:7" x14ac:dyDescent="0.25">
      <c r="A47" t="s">
        <v>119</v>
      </c>
      <c r="C47">
        <v>2</v>
      </c>
      <c r="D47" s="6"/>
      <c r="E47" s="2">
        <f>RFID__2[[#This Row],[Qty]]*RFID__2[[#This Row],[Price]]</f>
        <v>0</v>
      </c>
      <c r="G47" s="1"/>
    </row>
    <row r="48" spans="1:7" x14ac:dyDescent="0.25">
      <c r="A48" t="s">
        <v>111</v>
      </c>
      <c r="B48" t="s">
        <v>112</v>
      </c>
      <c r="C48">
        <v>2</v>
      </c>
      <c r="D48" s="6">
        <v>0.36099999999999999</v>
      </c>
      <c r="E48" s="3">
        <f>RFID__2[[#This Row],[Qty]]*RFID__2[[#This Row],[Price]]</f>
        <v>0.72199999999999998</v>
      </c>
      <c r="F48" s="4" t="s">
        <v>205</v>
      </c>
      <c r="G48" s="1" t="s">
        <v>113</v>
      </c>
    </row>
    <row r="49" spans="1:7" x14ac:dyDescent="0.25">
      <c r="A49" t="s">
        <v>114</v>
      </c>
      <c r="B49" t="s">
        <v>96</v>
      </c>
      <c r="C49">
        <v>1</v>
      </c>
      <c r="D49" s="6">
        <v>0.36099999999999999</v>
      </c>
      <c r="E49" s="3">
        <f>RFID__2[[#This Row],[Qty]]*RFID__2[[#This Row],[Price]]</f>
        <v>0.36099999999999999</v>
      </c>
      <c r="F49" s="4" t="s">
        <v>206</v>
      </c>
      <c r="G49" s="1" t="s">
        <v>115</v>
      </c>
    </row>
    <row r="50" spans="1:7" x14ac:dyDescent="0.25">
      <c r="A50" t="s">
        <v>116</v>
      </c>
      <c r="B50" t="s">
        <v>117</v>
      </c>
      <c r="C50">
        <v>1</v>
      </c>
      <c r="D50" s="6">
        <v>0.36099999999999999</v>
      </c>
      <c r="E50" s="3">
        <f>RFID__2[[#This Row],[Qty]]*RFID__2[[#This Row],[Price]]</f>
        <v>0.36099999999999999</v>
      </c>
      <c r="F50" s="4" t="s">
        <v>207</v>
      </c>
      <c r="G50" s="1" t="s">
        <v>118</v>
      </c>
    </row>
    <row r="51" spans="1:7" x14ac:dyDescent="0.25">
      <c r="A51" t="s">
        <v>120</v>
      </c>
      <c r="B51" t="s">
        <v>46</v>
      </c>
      <c r="C51">
        <v>4</v>
      </c>
      <c r="D51" s="6">
        <v>0.36099999999999999</v>
      </c>
      <c r="E51" s="3">
        <f>RFID__2[[#This Row],[Qty]]*RFID__2[[#This Row],[Price]]</f>
        <v>1.444</v>
      </c>
      <c r="F51" s="4" t="s">
        <v>217</v>
      </c>
      <c r="G51" s="1" t="s">
        <v>121</v>
      </c>
    </row>
    <row r="52" spans="1:7" x14ac:dyDescent="0.25">
      <c r="A52" t="s">
        <v>122</v>
      </c>
      <c r="B52" t="s">
        <v>123</v>
      </c>
      <c r="C52">
        <v>1</v>
      </c>
      <c r="D52" s="6">
        <v>0.45400000000000001</v>
      </c>
      <c r="E52" s="3">
        <f>RFID__2[[#This Row],[Qty]]*RFID__2[[#This Row],[Price]]</f>
        <v>0.45400000000000001</v>
      </c>
      <c r="F52" s="4" t="s">
        <v>222</v>
      </c>
      <c r="G52" s="1" t="s">
        <v>124</v>
      </c>
    </row>
    <row r="53" spans="1:7" x14ac:dyDescent="0.25">
      <c r="A53" t="s">
        <v>125</v>
      </c>
      <c r="B53" t="s">
        <v>126</v>
      </c>
      <c r="C53">
        <v>1</v>
      </c>
      <c r="D53" s="5">
        <v>3.68</v>
      </c>
      <c r="E53" s="2">
        <f>RFID__2[[#This Row],[Qty]]*RFID__2[[#This Row],[Price]]</f>
        <v>3.68</v>
      </c>
      <c r="F53" s="4" t="s">
        <v>218</v>
      </c>
      <c r="G53" s="1" t="s">
        <v>127</v>
      </c>
    </row>
    <row r="54" spans="1:7" x14ac:dyDescent="0.25">
      <c r="A54" t="s">
        <v>128</v>
      </c>
      <c r="B54" t="s">
        <v>223</v>
      </c>
      <c r="C54">
        <v>1</v>
      </c>
      <c r="D54" s="5">
        <v>1.73</v>
      </c>
      <c r="E54" s="2">
        <f>RFID__2[[#This Row],[Qty]]*RFID__2[[#This Row],[Price]]</f>
        <v>1.73</v>
      </c>
      <c r="F54" s="4" t="s">
        <v>130</v>
      </c>
      <c r="G54" s="1" t="s">
        <v>129</v>
      </c>
    </row>
    <row r="55" spans="1:7" x14ac:dyDescent="0.25">
      <c r="A55" t="s">
        <v>164</v>
      </c>
      <c r="B55" t="s">
        <v>165</v>
      </c>
      <c r="C55">
        <v>2</v>
      </c>
      <c r="D55" s="6">
        <v>0.54200000000000004</v>
      </c>
      <c r="E55" s="3">
        <f>RFID__2[[#This Row],[Qty]]*RFID__2[[#This Row],[Price]]</f>
        <v>1.0840000000000001</v>
      </c>
      <c r="F55" s="4" t="s">
        <v>131</v>
      </c>
      <c r="G55" s="1" t="s">
        <v>224</v>
      </c>
    </row>
    <row r="56" spans="1:7" x14ac:dyDescent="0.25">
      <c r="A56" t="s">
        <v>166</v>
      </c>
      <c r="B56" t="s">
        <v>167</v>
      </c>
      <c r="C56">
        <v>2</v>
      </c>
      <c r="D56" s="6">
        <v>0.504</v>
      </c>
      <c r="E56" s="3">
        <f>RFID__2[[#This Row],[Qty]]*RFID__2[[#This Row],[Price]]</f>
        <v>1.008</v>
      </c>
      <c r="F56" s="4" t="s">
        <v>133</v>
      </c>
      <c r="G56" s="1" t="s">
        <v>132</v>
      </c>
    </row>
    <row r="57" spans="1:7" x14ac:dyDescent="0.25">
      <c r="A57" t="s">
        <v>134</v>
      </c>
      <c r="B57" t="s">
        <v>99</v>
      </c>
      <c r="C57">
        <v>1</v>
      </c>
      <c r="D57" s="5">
        <v>1.19</v>
      </c>
      <c r="E57" s="2">
        <f>RFID__2[[#This Row],[Qty]]*RFID__2[[#This Row],[Price]]</f>
        <v>1.19</v>
      </c>
      <c r="F57" s="4" t="s">
        <v>219</v>
      </c>
      <c r="G57" s="1" t="s">
        <v>135</v>
      </c>
    </row>
    <row r="58" spans="1:7" x14ac:dyDescent="0.25">
      <c r="A58" t="s">
        <v>136</v>
      </c>
      <c r="B58" t="s">
        <v>228</v>
      </c>
      <c r="C58">
        <v>1</v>
      </c>
      <c r="D58" s="5">
        <v>2.56</v>
      </c>
      <c r="E58" s="2">
        <f>RFID__2[[#This Row],[Qty]]*RFID__2[[#This Row],[Price]]</f>
        <v>2.56</v>
      </c>
      <c r="F58" s="4" t="s">
        <v>226</v>
      </c>
      <c r="G58" s="1" t="s">
        <v>225</v>
      </c>
    </row>
    <row r="59" spans="1:7" x14ac:dyDescent="0.25">
      <c r="A59" t="s">
        <v>137</v>
      </c>
      <c r="B59" t="s">
        <v>229</v>
      </c>
      <c r="C59">
        <v>1</v>
      </c>
      <c r="D59" s="5">
        <v>12.64</v>
      </c>
      <c r="E59" s="2">
        <f>RFID__2[[#This Row],[Qty]]*RFID__2[[#This Row],[Price]]</f>
        <v>12.64</v>
      </c>
      <c r="F59" s="4" t="s">
        <v>227</v>
      </c>
      <c r="G59" s="1" t="s">
        <v>230</v>
      </c>
    </row>
    <row r="60" spans="1:7" x14ac:dyDescent="0.25">
      <c r="A60" t="s">
        <v>138</v>
      </c>
      <c r="B60" t="s">
        <v>139</v>
      </c>
      <c r="C60">
        <v>1</v>
      </c>
      <c r="D60" s="5">
        <v>4.01</v>
      </c>
      <c r="E60" s="2">
        <f>RFID__2[[#This Row],[Qty]]*RFID__2[[#This Row],[Price]]</f>
        <v>4.01</v>
      </c>
      <c r="F60" s="4" t="s">
        <v>220</v>
      </c>
      <c r="G60" s="1" t="s">
        <v>140</v>
      </c>
    </row>
    <row r="61" spans="1:7" x14ac:dyDescent="0.25">
      <c r="A61" t="s">
        <v>141</v>
      </c>
      <c r="B61" t="s">
        <v>142</v>
      </c>
      <c r="C61">
        <v>1</v>
      </c>
      <c r="D61" s="5">
        <v>2.13</v>
      </c>
      <c r="E61" s="2">
        <f>RFID__2[[#This Row],[Qty]]*RFID__2[[#This Row],[Price]]</f>
        <v>2.13</v>
      </c>
      <c r="F61" s="4" t="s">
        <v>221</v>
      </c>
      <c r="G61" s="1" t="s">
        <v>143</v>
      </c>
    </row>
    <row r="62" spans="1:7" x14ac:dyDescent="0.25">
      <c r="A62" t="s">
        <v>231</v>
      </c>
      <c r="C62">
        <v>1</v>
      </c>
      <c r="D62" s="5">
        <v>11.8</v>
      </c>
      <c r="E62" s="2">
        <f>RFID__2[[#This Row],[Qty]]*RFID__2[[#This Row],[Price]]</f>
        <v>11.8</v>
      </c>
      <c r="G62" t="s">
        <v>232</v>
      </c>
    </row>
    <row r="63" spans="1:7" x14ac:dyDescent="0.25">
      <c r="E63" s="2">
        <f>SUM(E2:E62)</f>
        <v>160.24900000000002</v>
      </c>
      <c r="G63" s="1"/>
    </row>
  </sheetData>
  <phoneticPr fontId="2" type="noConversion"/>
  <hyperlinks>
    <hyperlink ref="G2" r:id="rId1" xr:uid="{5A21746B-09DC-444F-A475-BE71D1DE5EF1}"/>
    <hyperlink ref="G3" r:id="rId2" xr:uid="{276E6AE0-7763-4963-9A97-70FA5C230C89}"/>
    <hyperlink ref="G4" r:id="rId3" xr:uid="{F9B836B4-D7CE-42E6-9DF3-1BC2605C0C1A}"/>
    <hyperlink ref="G5" r:id="rId4" xr:uid="{71042E4D-29E1-45CA-BCFD-E8E45723EB35}"/>
    <hyperlink ref="G6" r:id="rId5" xr:uid="{7A38BC7B-E760-4CE7-A68F-CB0876C952BB}"/>
    <hyperlink ref="G7" r:id="rId6" xr:uid="{53178B7D-1753-48D2-ACA0-FC72740B7CB4}"/>
    <hyperlink ref="G8" r:id="rId7" xr:uid="{FA8890A3-967D-4E04-8DC5-C5F0E4CD24EF}"/>
    <hyperlink ref="G9" r:id="rId8" xr:uid="{35DE9CA2-C815-4B20-8AE1-8981D345C21F}"/>
    <hyperlink ref="G10" r:id="rId9" xr:uid="{95A76A34-B665-4ACE-9088-71B9F970A592}"/>
    <hyperlink ref="G11" r:id="rId10" xr:uid="{14D665CC-1832-421B-B6F7-786A807422CD}"/>
    <hyperlink ref="G14" r:id="rId11" xr:uid="{1FC26999-4994-420D-8AEC-886C96C0739D}"/>
    <hyperlink ref="G15" r:id="rId12" xr:uid="{ECB3E47E-76F5-4CE2-B04E-AF703C67E538}"/>
    <hyperlink ref="G16" r:id="rId13" xr:uid="{216CEC08-02C2-4762-8CDA-E6041CEF62D4}"/>
    <hyperlink ref="G17" r:id="rId14" xr:uid="{3307BE8A-17D7-4EA6-A30A-2A2E7D082FC4}"/>
    <hyperlink ref="G18" r:id="rId15" xr:uid="{AB70F9C5-5F5A-455B-ADA0-A59D174C587A}"/>
    <hyperlink ref="G19" r:id="rId16" xr:uid="{06550379-F6DB-42CF-8A8E-EBB2DE460E91}"/>
    <hyperlink ref="G20" r:id="rId17" xr:uid="{D1E6B4B4-7915-48EE-8FA6-5292D3B8C8C5}"/>
    <hyperlink ref="G21" r:id="rId18" xr:uid="{33D5923C-2640-41AB-B267-79460C47E4DE}"/>
    <hyperlink ref="G22" r:id="rId19" xr:uid="{A761A167-0392-448F-9A46-29AD9235E345}"/>
    <hyperlink ref="G23" r:id="rId20" xr:uid="{AFC28A59-24FD-405D-85A8-DFF87FA5AF0B}"/>
    <hyperlink ref="G24" r:id="rId21" display="http://www.nxp.com/docs/en/nxp/data-sheets/PN532_C1.pdf" xr:uid="{E0AE8910-6928-4F4F-B240-C8B306E8CC95}"/>
    <hyperlink ref="G25" r:id="rId22" xr:uid="{4E8E0A18-A9F6-47DF-8A6F-D47286DFFD52}"/>
    <hyperlink ref="G26" r:id="rId23" xr:uid="{C6A6BD6D-C469-415D-A663-E7C2B5AA2BE8}"/>
    <hyperlink ref="G28" r:id="rId24" xr:uid="{91FF3E55-DD44-4C93-BF47-78F95255BDA1}"/>
    <hyperlink ref="G29" r:id="rId25" xr:uid="{0AF31D88-9917-4C28-ABA8-92ED0FE4E783}"/>
    <hyperlink ref="G30" r:id="rId26" xr:uid="{2D3F4ADE-C93A-4B48-B328-08BC99351101}"/>
    <hyperlink ref="G31" r:id="rId27" xr:uid="{CD8871DC-36F0-4068-961B-0D00BC79EBD3}"/>
    <hyperlink ref="G32" r:id="rId28" xr:uid="{CF237F3B-225C-4319-A934-806476B554E5}"/>
    <hyperlink ref="G33" r:id="rId29" xr:uid="{9EDA6EE7-6127-4EC9-B106-EE0B6E47D2C6}"/>
    <hyperlink ref="G35" r:id="rId30" xr:uid="{3B5627B0-6C92-4C01-945C-8A191907679D}"/>
    <hyperlink ref="G36" r:id="rId31" xr:uid="{AF53EC27-7EC1-4279-92CC-81B775253829}"/>
    <hyperlink ref="G37" r:id="rId32" xr:uid="{6C294A07-CD98-4E59-98AD-E9E995304DE6}"/>
    <hyperlink ref="G38" r:id="rId33" xr:uid="{79A1AEE6-7DEC-42A2-B90A-332CD727A1F2}"/>
    <hyperlink ref="G39" r:id="rId34" xr:uid="{CFEB2C41-CA88-470E-B5CF-7D5DCC2391C1}"/>
    <hyperlink ref="G40" r:id="rId35" xr:uid="{D7C85F16-24E4-4A36-BF3B-661B89A980B8}"/>
    <hyperlink ref="G41" r:id="rId36" xr:uid="{C43DF62B-76FA-4023-82FC-1CC085FFB05C}"/>
    <hyperlink ref="G42" r:id="rId37" xr:uid="{87D00B3F-AAA6-49F0-B2A5-777DC174A3AE}"/>
    <hyperlink ref="G43" r:id="rId38" xr:uid="{FFE88466-3B93-42E5-A5F6-10ADE080B544}"/>
    <hyperlink ref="G44" r:id="rId39" xr:uid="{4F97E403-3578-4ACF-8340-1D5ED5DB7EFA}"/>
    <hyperlink ref="G45" r:id="rId40" xr:uid="{0EEA7580-E7DA-487B-8E37-857F37E51682}"/>
    <hyperlink ref="G46" r:id="rId41" xr:uid="{FEB3BAF0-E2C2-43B8-AC93-CB73306908FC}"/>
    <hyperlink ref="G48" r:id="rId42" xr:uid="{853A1CFA-AEB5-4F76-B4E9-38879078B1F7}"/>
    <hyperlink ref="G49" r:id="rId43" xr:uid="{37F844A1-CF6B-4577-8CF5-D9B55D7C00CF}"/>
    <hyperlink ref="G50" r:id="rId44" xr:uid="{732E5442-C8DC-48D9-A58B-BACD6966BB4B}"/>
    <hyperlink ref="G51" r:id="rId45" xr:uid="{C83DCEF8-44C1-475D-BA86-87B1E824B142}"/>
    <hyperlink ref="G52" r:id="rId46" xr:uid="{DAC0358D-11FB-48F9-9BE6-4C4FCEC6C614}"/>
    <hyperlink ref="G53" r:id="rId47" xr:uid="{ACCC5714-690C-465D-BE85-538446ED9942}"/>
    <hyperlink ref="G54" r:id="rId48" xr:uid="{1A23B2B1-CE2E-4A07-8B51-4120BCA45DAC}"/>
    <hyperlink ref="G55" r:id="rId49" xr:uid="{89E31021-A1D6-4B0A-AFE6-74DEDD253793}"/>
    <hyperlink ref="G56" r:id="rId50" xr:uid="{A88E7764-A1C2-49C1-A11F-B3CB65D006A3}"/>
    <hyperlink ref="G57" r:id="rId51" xr:uid="{70C2DC4D-323D-478B-8E7C-B0A05FE7A71B}"/>
    <hyperlink ref="G58" r:id="rId52" xr:uid="{E72F2EE6-10F8-4EDF-BFAC-BCB7BDF8A712}"/>
    <hyperlink ref="G59" r:id="rId53" xr:uid="{7E157A42-9DBC-4F05-9ECB-6D9D4757AB51}"/>
    <hyperlink ref="G60" r:id="rId54" xr:uid="{F437318F-8F88-4378-A1AD-FE687D99F394}"/>
    <hyperlink ref="G61" r:id="rId55" xr:uid="{E3E03E0B-FDF9-44F6-BC71-51F037465404}"/>
    <hyperlink ref="G27" r:id="rId56" xr:uid="{8B5ED6F3-6A10-4B07-9C09-D15BA3C4B9B2}"/>
    <hyperlink ref="G34" r:id="rId57" xr:uid="{D7262D6F-B67E-4B7E-94F1-5ACE83FC45C3}"/>
  </hyperlinks>
  <pageMargins left="0.7" right="0.7" top="0.75" bottom="0.75" header="0.3" footer="0.3"/>
  <tableParts count="1">
    <tablePart r:id="rId5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39799B-AD6A-4BFA-BEB5-AE0F173509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Duszczak</dc:creator>
  <cp:lastModifiedBy>Maciej Duszczak</cp:lastModifiedBy>
  <dcterms:created xsi:type="dcterms:W3CDTF">2026-08-13T16:31:38Z</dcterms:created>
  <dcterms:modified xsi:type="dcterms:W3CDTF">2026-08-14T11:25:53Z</dcterms:modified>
</cp:coreProperties>
</file>